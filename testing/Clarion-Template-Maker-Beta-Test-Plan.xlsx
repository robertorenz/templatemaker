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eta Testers" sheetId="2" state="visible" r:id="rId2"/>
    <sheet name="Test Cases" sheetId="3" state="visible" r:id="rId3"/>
    <sheet name="Bug Log" sheetId="4" state="visible" r:id="rId4"/>
    <sheet name="Summary" sheetId="5" state="visible" r:id="rId5"/>
  </sheets>
  <definedNames>
    <definedName name="_xlnm._FilterDatabase" localSheetId="2" hidden="1">'Test Cases'!$A$4:$K$57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E1A2B"/>
      <sz val="12"/>
    </font>
    <font>
      <color rgb="0022303F"/>
      <sz val="11"/>
    </font>
    <font>
      <i val="1"/>
      <color rgb="0022303F"/>
      <sz val="10"/>
    </font>
    <font>
      <b val="1"/>
      <color rgb="00FFFFFF"/>
      <sz val="11"/>
    </font>
    <font>
      <i val="1"/>
      <color rgb="007A8794"/>
    </font>
    <font>
      <color rgb="0022303F"/>
      <sz val="10"/>
    </font>
    <font>
      <b val="1"/>
      <color rgb="000E1A2B"/>
      <sz val="10"/>
    </font>
    <font>
      <b val="1"/>
      <color rgb="00FFFFFF"/>
      <sz val="15"/>
    </font>
    <font>
      <b val="1"/>
      <color rgb="0022303F"/>
      <sz val="11"/>
    </font>
    <font>
      <b val="1"/>
      <color rgb="000E1A2B"/>
      <sz val="11"/>
    </font>
  </fonts>
  <fills count="6">
    <fill>
      <patternFill/>
    </fill>
    <fill>
      <patternFill patternType="gray125"/>
    </fill>
    <fill>
      <patternFill patternType="solid">
        <fgColor rgb="000A66C2"/>
      </patternFill>
    </fill>
    <fill>
      <patternFill patternType="solid">
        <fgColor rgb="00EEF4FC"/>
      </patternFill>
    </fill>
    <fill>
      <patternFill patternType="solid">
        <fgColor rgb="000E1A2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2" borderId="0" applyAlignment="1" pivotButton="0" quotePrefix="0" xfId="0">
      <alignment vertical="center" indent="1"/>
    </xf>
    <xf numFmtId="0" fontId="10" fillId="3" borderId="1" pivotButton="0" quotePrefix="0" xfId="0"/>
    <xf numFmtId="0" fontId="11" fillId="0" borderId="1" applyAlignment="1" pivotButton="0" quotePrefix="0" xfId="0">
      <alignment horizontal="center"/>
    </xf>
    <xf numFmtId="0" fontId="3" fillId="3" borderId="1" pivotButton="0" quotePrefix="0" xfId="0"/>
    <xf numFmtId="9" fontId="11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11603F"/>
      </font>
      <fill>
        <patternFill patternType="solid">
          <fgColor rgb="00D9F0E3"/>
        </patternFill>
      </fill>
    </dxf>
    <dxf>
      <font>
        <b val="1"/>
        <color rgb="008A2018"/>
      </font>
      <fill>
        <patternFill patternType="solid">
          <fgColor rgb="00F9D7D2"/>
        </patternFill>
      </fill>
    </dxf>
    <dxf>
      <font>
        <b val="1"/>
        <color rgb="006F5210"/>
      </font>
      <fill>
        <patternFill patternType="solid">
          <fgColor rgb="00FCEFCB"/>
        </patternFill>
      </fill>
    </dxf>
    <dxf>
      <font>
        <color rgb="006B7785"/>
      </font>
      <fill>
        <patternFill patternType="solid">
          <fgColor rgb="00ECEF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36" customHeight="1">
      <c r="A1" s="1" t="inlineStr">
        <is>
          <t>Clarion Template Maker - Beta Test Plan (v2.12.0)</t>
        </is>
      </c>
    </row>
    <row r="2">
      <c r="B2" t="inlineStr"/>
    </row>
    <row r="3">
      <c r="B3" s="2" t="inlineStr">
        <is>
          <t>Thank you for beta testing!</t>
        </is>
      </c>
    </row>
    <row r="4" ht="30" customHeight="1">
      <c r="B4" s="3" t="inlineStr">
        <is>
          <t>This workbook is your test script. Work through the Test Cases tab top to bottom, set a Result for each, and note anything odd. Log defects on the Bug Log tab. Add yourself on the Beta Testers tab.</t>
        </is>
      </c>
    </row>
    <row r="5">
      <c r="B5" s="2" t="inlineStr">
        <is>
          <t>What you are testing</t>
        </is>
      </c>
    </row>
    <row r="6" ht="30" customHeight="1">
      <c r="B6" s="3" t="inlineStr">
        <is>
          <t>1) The Template Designer app (install + the visual designer).</t>
        </is>
      </c>
    </row>
    <row r="7" ht="30" customHeight="1">
      <c r="B7" s="3" t="inlineStr">
        <is>
          <t>2) The Clarion templates it ships (register in Clarion 12, then generate / compile / run).</t>
        </is>
      </c>
    </row>
    <row r="8" ht="30" customHeight="1">
      <c r="B8" s="3" t="inlineStr">
        <is>
          <t>You do NOT need to test everything - do the areas assigned to you. Mark anything you can't run as 'Skipped'.</t>
        </is>
      </c>
    </row>
    <row r="9">
      <c r="B9" s="2" t="inlineStr">
        <is>
          <t>What you need</t>
        </is>
      </c>
    </row>
    <row r="10" ht="30" customHeight="1">
      <c r="B10" s="3" t="inlineStr">
        <is>
          <t>- Windows 10 or 11.</t>
        </is>
      </c>
    </row>
    <row r="11" ht="30" customHeight="1">
      <c r="B11" s="3" t="inlineStr">
        <is>
          <t>- For the template tests: Clarion 12 installed.</t>
        </is>
      </c>
    </row>
    <row r="12" ht="30" customHeight="1">
      <c r="B12" s="3" t="inlineStr">
        <is>
          <t>- A phone (any QR scanner / camera) for the QR tests.</t>
        </is>
      </c>
    </row>
    <row r="13" ht="30" customHeight="1">
      <c r="B13" s="3" t="inlineStr">
        <is>
          <t>- Internet only for the 'myQR (online)' test; everything else works offline.</t>
        </is>
      </c>
    </row>
    <row r="14">
      <c r="B14" s="2" t="inlineStr">
        <is>
          <t>How to record a result</t>
        </is>
      </c>
    </row>
    <row r="15" ht="30" customHeight="1">
      <c r="B15" s="3" t="inlineStr">
        <is>
          <t>In the Test Cases tab, use the Result drop-down: Not Run / Pass / Fail / Blocked / Skipped. Pass turns green, Fail turns red, Blocked turns amber. For a Fail, set a Severity, put your name + the date, and a short note (and a Bug ID if you logged one).</t>
        </is>
      </c>
    </row>
    <row r="16">
      <c r="B16" s="2" t="inlineStr">
        <is>
          <t>Severity guide</t>
        </is>
      </c>
    </row>
    <row r="17" ht="30" customHeight="1">
      <c r="B17" s="3" t="inlineStr">
        <is>
          <t>Critical = data loss / crash / can't proceed.  High = feature broken, no workaround.  Medium = broken but has a workaround.  Low = cosmetic / minor.</t>
        </is>
      </c>
    </row>
    <row r="18">
      <c r="B18" s="2" t="inlineStr">
        <is>
          <t>How to report bugs</t>
        </is>
      </c>
    </row>
    <row r="19" ht="30" customHeight="1">
      <c r="B19" s="3" t="inlineStr">
        <is>
          <t>Add a row on the Bug Log tab (give it a Bug ID like BUG-001 and reference the Test ID). GitHub issues: https://github.com/robertorenz/templatemaker/issues</t>
        </is>
      </c>
    </row>
    <row r="20" ht="30" customHeight="1">
      <c r="B20" s="3" t="inlineStr">
        <is>
          <t>The Summary tab tallies your results automatically.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2" customWidth="1" min="4" max="4"/>
    <col width="13" customWidth="1" min="5" max="5"/>
    <col width="30" customWidth="1" min="6" max="6"/>
    <col width="14" customWidth="1" min="7" max="7"/>
    <col width="30" customWidth="1" min="8" max="8"/>
  </cols>
  <sheetData>
    <row r="1" ht="34" customHeight="1">
      <c r="A1" s="4" t="inlineStr">
        <is>
          <t>Beta Testers</t>
        </is>
      </c>
    </row>
    <row r="2" ht="20" customHeight="1">
      <c r="A2" s="5" t="inlineStr">
        <is>
          <t>One row per tester. Fill in your details and which areas you'll cover.</t>
        </is>
      </c>
    </row>
    <row r="4" ht="26" customHeight="1">
      <c r="A4" s="6" t="inlineStr">
        <is>
          <t>Tester ID</t>
        </is>
      </c>
      <c r="B4" s="6" t="inlineStr">
        <is>
          <t>Name</t>
        </is>
      </c>
      <c r="C4" s="6" t="inlineStr">
        <is>
          <t>Email</t>
        </is>
      </c>
      <c r="D4" s="6" t="inlineStr">
        <is>
          <t>OS (10/11)</t>
        </is>
      </c>
      <c r="E4" s="6" t="inlineStr">
        <is>
          <t>Clarion ver.</t>
        </is>
      </c>
      <c r="F4" s="6" t="inlineStr">
        <is>
          <t>Assigned areas</t>
        </is>
      </c>
      <c r="G4" s="6" t="inlineStr">
        <is>
          <t>Status</t>
        </is>
      </c>
      <c r="H4" s="6" t="inlineStr">
        <is>
          <t>Notes</t>
        </is>
      </c>
    </row>
    <row r="5">
      <c r="A5" s="7" t="inlineStr">
        <is>
          <t>BT-01</t>
        </is>
      </c>
      <c r="B5" s="7" t="inlineStr">
        <is>
          <t>Jane Example</t>
        </is>
      </c>
      <c r="C5" s="7" t="inlineStr">
        <is>
          <t>jane@example.com</t>
        </is>
      </c>
      <c r="D5" s="7" t="inlineStr">
        <is>
          <t>11</t>
        </is>
      </c>
      <c r="E5" s="7" t="inlineStr">
        <is>
          <t>12.0</t>
        </is>
      </c>
      <c r="F5" s="7" t="inlineStr">
        <is>
          <t>Designer + myQRDraw</t>
        </is>
      </c>
      <c r="G5" s="7" t="inlineStr">
        <is>
          <t>Active</t>
        </is>
      </c>
      <c r="H5" s="7" t="inlineStr">
        <is>
          <t>example row - overwrite me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</sheetData>
  <mergeCells count="2">
    <mergeCell ref="A2:H2"/>
    <mergeCell ref="A1:H1"/>
  </mergeCells>
  <dataValidations count="1">
    <dataValidation sqref="G5:G30" showDropDown="0" showInputMessage="0" showErrorMessage="0" allowBlank="1" type="list">
      <formula1>"Invited,Active,Completed,Dropped"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30" customWidth="1" min="4" max="4"/>
    <col width="46" customWidth="1" min="5" max="5"/>
    <col width="46" customWidth="1" min="6" max="6"/>
    <col width="11" customWidth="1" min="7" max="7"/>
    <col width="11" customWidth="1" min="8" max="8"/>
    <col width="16" customWidth="1" min="9" max="9"/>
    <col width="13" customWidth="1" min="10" max="10"/>
    <col width="30" customWidth="1" min="11" max="11"/>
  </cols>
  <sheetData>
    <row r="1" ht="34" customHeight="1">
      <c r="A1" s="4" t="inlineStr">
        <is>
          <t>Test Cases</t>
        </is>
      </c>
    </row>
    <row r="2" ht="20" customHeight="1">
      <c r="A2" s="5" t="inlineStr">
        <is>
          <t>Work top to bottom. Set Result via the drop-down; for a Fail add Severity, your name, date, note and a Bug ID.</t>
        </is>
      </c>
    </row>
    <row r="4" ht="26" customHeight="1">
      <c r="A4" s="6" t="inlineStr">
        <is>
          <t>Test ID</t>
        </is>
      </c>
      <c r="B4" s="6" t="inlineStr">
        <is>
          <t>Area</t>
        </is>
      </c>
      <c r="C4" s="6" t="inlineStr">
        <is>
          <t>Feature</t>
        </is>
      </c>
      <c r="D4" s="6" t="inlineStr">
        <is>
          <t>Preconditions</t>
        </is>
      </c>
      <c r="E4" s="6" t="inlineStr">
        <is>
          <t>Steps</t>
        </is>
      </c>
      <c r="F4" s="6" t="inlineStr">
        <is>
          <t>Expected Result</t>
        </is>
      </c>
      <c r="G4" s="6" t="inlineStr">
        <is>
          <t>Result</t>
        </is>
      </c>
      <c r="H4" s="6" t="inlineStr">
        <is>
          <t>Severity</t>
        </is>
      </c>
      <c r="I4" s="6" t="inlineStr">
        <is>
          <t>Tester</t>
        </is>
      </c>
      <c r="J4" s="6" t="inlineStr">
        <is>
          <t>Date Tested</t>
        </is>
      </c>
      <c r="K4" s="6" t="inlineStr">
        <is>
          <t>Notes / Bug ID</t>
        </is>
      </c>
    </row>
    <row r="5">
      <c r="A5" s="10" t="inlineStr">
        <is>
          <t>TC-001</t>
        </is>
      </c>
      <c r="B5" s="11" t="inlineStr">
        <is>
          <t>Installation</t>
        </is>
      </c>
      <c r="C5" s="12" t="inlineStr">
        <is>
          <t>Full installer runs</t>
        </is>
      </c>
      <c r="D5" s="12" t="inlineStr">
        <is>
          <t>ClarionTemplateToolsSetup.exe downloaded</t>
        </is>
      </c>
      <c r="E5" s="12" t="inlineStr">
        <is>
          <t>Double-click the setup .exe. If SmartScreen warns, choose More info &gt; Run anyway. Step through the wizard and finish.</t>
        </is>
      </c>
      <c r="F5" s="12" t="inlineStr">
        <is>
          <t>Installer completes with no errors; a Start-menu shortcut and the install folder (templates, skills, docs) are created.</t>
        </is>
      </c>
      <c r="G5" s="10" t="inlineStr">
        <is>
          <t>Not Run</t>
        </is>
      </c>
      <c r="H5" s="10" t="inlineStr"/>
      <c r="I5" s="12" t="inlineStr"/>
      <c r="J5" s="10" t="inlineStr"/>
      <c r="K5" s="12" t="inlineStr"/>
    </row>
    <row r="6">
      <c r="A6" s="13" t="inlineStr">
        <is>
          <t>TC-002</t>
        </is>
      </c>
      <c r="B6" s="14" t="inlineStr">
        <is>
          <t>Installation</t>
        </is>
      </c>
      <c r="C6" s="15" t="inlineStr">
        <is>
          <t>Launch installed app</t>
        </is>
      </c>
      <c r="D6" s="15" t="inlineStr">
        <is>
          <t>Installed via the setup .exe</t>
        </is>
      </c>
      <c r="E6" s="15" t="inlineStr">
        <is>
          <t>Open the app from the Start menu shortcut.</t>
        </is>
      </c>
      <c r="F6" s="15" t="inlineStr">
        <is>
          <t>The Clarion Template Designer window opens; no error dialogs.</t>
        </is>
      </c>
      <c r="G6" s="13" t="inlineStr">
        <is>
          <t>Not Run</t>
        </is>
      </c>
      <c r="H6" s="13" t="inlineStr"/>
      <c r="I6" s="15" t="inlineStr"/>
      <c r="J6" s="13" t="inlineStr"/>
      <c r="K6" s="15" t="inlineStr"/>
    </row>
    <row r="7">
      <c r="A7" s="10" t="inlineStr">
        <is>
          <t>TC-003</t>
        </is>
      </c>
      <c r="B7" s="11" t="inlineStr">
        <is>
          <t>Installation</t>
        </is>
      </c>
      <c r="C7" s="12" t="inlineStr">
        <is>
          <t>Portable exe runs</t>
        </is>
      </c>
      <c r="D7" s="12" t="inlineStr">
        <is>
          <t>ClarionTemplateDesigner.exe (portable) downloaded</t>
        </is>
      </c>
      <c r="E7" s="12" t="inlineStr">
        <is>
          <t>Run the portable .exe directly from any folder (no install).</t>
        </is>
      </c>
      <c r="F7" s="12" t="inlineStr">
        <is>
          <t>App opens; the templates/skills/agents folders sit next to the exe and are usable.</t>
        </is>
      </c>
      <c r="G7" s="10" t="inlineStr">
        <is>
          <t>Not Run</t>
        </is>
      </c>
      <c r="H7" s="10" t="inlineStr"/>
      <c r="I7" s="12" t="inlineStr"/>
      <c r="J7" s="10" t="inlineStr"/>
      <c r="K7" s="12" t="inlineStr"/>
    </row>
    <row r="8">
      <c r="A8" s="13" t="inlineStr">
        <is>
          <t>TC-004</t>
        </is>
      </c>
      <c r="B8" s="14" t="inlineStr">
        <is>
          <t>Installation</t>
        </is>
      </c>
      <c r="C8" s="15" t="inlineStr">
        <is>
          <t>Version is correct</t>
        </is>
      </c>
      <c r="D8" s="15" t="inlineStr">
        <is>
          <t>App open</t>
        </is>
      </c>
      <c r="E8" s="15" t="inlineStr">
        <is>
          <t>Check the title bar / Help &gt; About for the version.</t>
        </is>
      </c>
      <c r="F8" s="15" t="inlineStr">
        <is>
          <t>Version shows 2.12.0.</t>
        </is>
      </c>
      <c r="G8" s="13" t="inlineStr">
        <is>
          <t>Not Run</t>
        </is>
      </c>
      <c r="H8" s="13" t="inlineStr"/>
      <c r="I8" s="15" t="inlineStr"/>
      <c r="J8" s="13" t="inlineStr"/>
      <c r="K8" s="15" t="inlineStr"/>
    </row>
    <row r="9">
      <c r="A9" s="10" t="inlineStr">
        <is>
          <t>TC-005</t>
        </is>
      </c>
      <c r="B9" s="11" t="inlineStr">
        <is>
          <t>Installation</t>
        </is>
      </c>
      <c r="C9" s="12" t="inlineStr">
        <is>
          <t>Uninstall is clean</t>
        </is>
      </c>
      <c r="D9" s="12" t="inlineStr">
        <is>
          <t>Installed via the setup .exe</t>
        </is>
      </c>
      <c r="E9" s="12" t="inlineStr">
        <is>
          <t>Uninstall from Settings &gt; Apps (or the uninstaller).</t>
        </is>
      </c>
      <c r="F9" s="12" t="inlineStr">
        <is>
          <t>App and shortcuts removed; no leftover errors. (Re-install afterwards to keep testing.)</t>
        </is>
      </c>
      <c r="G9" s="10" t="inlineStr">
        <is>
          <t>Not Run</t>
        </is>
      </c>
      <c r="H9" s="10" t="inlineStr"/>
      <c r="I9" s="12" t="inlineStr"/>
      <c r="J9" s="10" t="inlineStr"/>
      <c r="K9" s="12" t="inlineStr"/>
    </row>
    <row r="10">
      <c r="A10" s="13" t="inlineStr">
        <is>
          <t>TC-006</t>
        </is>
      </c>
      <c r="B10" s="14" t="inlineStr">
        <is>
          <t>Designer - Files</t>
        </is>
      </c>
      <c r="C10" s="15" t="inlineStr">
        <is>
          <t>Open a template</t>
        </is>
      </c>
      <c r="D10" s="15" t="inlineStr">
        <is>
          <t>App open</t>
        </is>
      </c>
      <c r="E10" s="15" t="inlineStr">
        <is>
          <t>File &gt; Open and pick a shipped .tpl (e.g. templates\myPie\myPie.tpl).</t>
        </is>
      </c>
      <c r="F10" s="15" t="inlineStr">
        <is>
          <t>The prompt UI renders on the canvas at the real AT positions; image controls show their actual PNG icons.</t>
        </is>
      </c>
      <c r="G10" s="13" t="inlineStr">
        <is>
          <t>Not Run</t>
        </is>
      </c>
      <c r="H10" s="13" t="inlineStr"/>
      <c r="I10" s="15" t="inlineStr"/>
      <c r="J10" s="13" t="inlineStr"/>
      <c r="K10" s="15" t="inlineStr"/>
    </row>
    <row r="11">
      <c r="A11" s="10" t="inlineStr">
        <is>
          <t>TC-007</t>
        </is>
      </c>
      <c r="B11" s="11" t="inlineStr">
        <is>
          <t>Designer - Files</t>
        </is>
      </c>
      <c r="C11" s="12" t="inlineStr">
        <is>
          <t>Multiple documents / tabs</t>
        </is>
      </c>
      <c r="D11" s="12" t="inlineStr">
        <is>
          <t>App open</t>
        </is>
      </c>
      <c r="E11" s="12" t="inlineStr">
        <is>
          <t>Open two or three different .tpl files. Click between the document tabs at the top.</t>
        </is>
      </c>
      <c r="F11" s="12" t="inlineStr">
        <is>
          <t>Each template opens in its own tab; switching restores that document's selected part AND active tab.</t>
        </is>
      </c>
      <c r="G11" s="10" t="inlineStr">
        <is>
          <t>Not Run</t>
        </is>
      </c>
      <c r="H11" s="10" t="inlineStr"/>
      <c r="I11" s="12" t="inlineStr"/>
      <c r="J11" s="10" t="inlineStr"/>
      <c r="K11" s="12" t="inlineStr"/>
    </row>
    <row r="12">
      <c r="A12" s="13" t="inlineStr">
        <is>
          <t>TC-008</t>
        </is>
      </c>
      <c r="B12" s="14" t="inlineStr">
        <is>
          <t>Designer - Files</t>
        </is>
      </c>
      <c r="C12" s="15" t="inlineStr">
        <is>
          <t>Reopen refreshes canvas</t>
        </is>
      </c>
      <c r="D12" s="15" t="inlineStr">
        <is>
          <t>A template open</t>
        </is>
      </c>
      <c r="E12" s="15" t="inlineStr">
        <is>
          <t>Make an external change or reopen the same template.</t>
        </is>
      </c>
      <c r="F12" s="15" t="inlineStr">
        <is>
          <t>Opening a template refreshes the canvas immediately (no stale view).</t>
        </is>
      </c>
      <c r="G12" s="13" t="inlineStr">
        <is>
          <t>Not Run</t>
        </is>
      </c>
      <c r="H12" s="13" t="inlineStr"/>
      <c r="I12" s="15" t="inlineStr"/>
      <c r="J12" s="13" t="inlineStr"/>
      <c r="K12" s="15" t="inlineStr"/>
    </row>
    <row r="13">
      <c r="A13" s="10" t="inlineStr">
        <is>
          <t>TC-009</t>
        </is>
      </c>
      <c r="B13" s="11" t="inlineStr">
        <is>
          <t>Designer - Canvas</t>
        </is>
      </c>
      <c r="C13" s="12" t="inlineStr">
        <is>
          <t>Drag a control</t>
        </is>
      </c>
      <c r="D13" s="12" t="inlineStr">
        <is>
          <t>A template open with controls</t>
        </is>
      </c>
      <c r="E13" s="12" t="inlineStr">
        <is>
          <t>Drag a control to a new spot.</t>
        </is>
      </c>
      <c r="F13" s="12" t="inlineStr">
        <is>
          <t>The control moves; its AT x,y update; True layout mirrors the new position.</t>
        </is>
      </c>
      <c r="G13" s="10" t="inlineStr">
        <is>
          <t>Not Run</t>
        </is>
      </c>
      <c r="H13" s="10" t="inlineStr"/>
      <c r="I13" s="12" t="inlineStr"/>
      <c r="J13" s="10" t="inlineStr"/>
      <c r="K13" s="12" t="inlineStr"/>
    </row>
    <row r="14">
      <c r="A14" s="13" t="inlineStr">
        <is>
          <t>TC-010</t>
        </is>
      </c>
      <c r="B14" s="14" t="inlineStr">
        <is>
          <t>Designer - Canvas</t>
        </is>
      </c>
      <c r="C14" s="15" t="inlineStr">
        <is>
          <t>Resize a control</t>
        </is>
      </c>
      <c r="D14" s="15" t="inlineStr">
        <is>
          <t>A template open</t>
        </is>
      </c>
      <c r="E14" s="15" t="inlineStr">
        <is>
          <t>Grab a control's handle and resize it.</t>
        </is>
      </c>
      <c r="F14" s="15" t="inlineStr">
        <is>
          <t>The control resizes; AT width/height update accordingly.</t>
        </is>
      </c>
      <c r="G14" s="13" t="inlineStr">
        <is>
          <t>Not Run</t>
        </is>
      </c>
      <c r="H14" s="13" t="inlineStr"/>
      <c r="I14" s="15" t="inlineStr"/>
      <c r="J14" s="13" t="inlineStr"/>
      <c r="K14" s="15" t="inlineStr"/>
    </row>
    <row r="15">
      <c r="A15" s="10" t="inlineStr">
        <is>
          <t>TC-011</t>
        </is>
      </c>
      <c r="B15" s="11" t="inlineStr">
        <is>
          <t>Designer - Canvas</t>
        </is>
      </c>
      <c r="C15" s="12" t="inlineStr">
        <is>
          <t>Grid / ruler guides</t>
        </is>
      </c>
      <c r="D15" s="12" t="inlineStr">
        <is>
          <t>A template open</t>
        </is>
      </c>
      <c r="E15" s="12" t="inlineStr">
        <is>
          <t>Drag a guide off a ruler; snap a control to it; then drag the guide back onto the ruler.</t>
        </is>
      </c>
      <c r="F15" s="12" t="inlineStr">
        <is>
          <t>Controls snap to grid/guides; dragging a guide back to a ruler removes it.</t>
        </is>
      </c>
      <c r="G15" s="10" t="inlineStr">
        <is>
          <t>Not Run</t>
        </is>
      </c>
      <c r="H15" s="10" t="inlineStr"/>
      <c r="I15" s="12" t="inlineStr"/>
      <c r="J15" s="10" t="inlineStr"/>
      <c r="K15" s="12" t="inlineStr"/>
    </row>
    <row r="16">
      <c r="A16" s="13" t="inlineStr">
        <is>
          <t>TC-012</t>
        </is>
      </c>
      <c r="B16" s="14" t="inlineStr">
        <is>
          <t>Designer - Canvas</t>
        </is>
      </c>
      <c r="C16" s="15" t="inlineStr">
        <is>
          <t>Add controls</t>
        </is>
      </c>
      <c r="D16" s="15" t="inlineStr">
        <is>
          <t>A template open</t>
        </is>
      </c>
      <c r="E16" s="15" t="inlineStr">
        <is>
          <t>Use the Add command bar to insert each of: Label, String, Number, Spin, Check, Image, Group.</t>
        </is>
      </c>
      <c r="F16" s="15" t="inlineStr">
        <is>
          <t>Each new control appears with a fresh unique %symbol and is editable.</t>
        </is>
      </c>
      <c r="G16" s="13" t="inlineStr">
        <is>
          <t>Not Run</t>
        </is>
      </c>
      <c r="H16" s="13" t="inlineStr"/>
      <c r="I16" s="15" t="inlineStr"/>
      <c r="J16" s="13" t="inlineStr"/>
      <c r="K16" s="15" t="inlineStr"/>
    </row>
    <row r="17">
      <c r="A17" s="10" t="inlineStr">
        <is>
          <t>TC-013</t>
        </is>
      </c>
      <c r="B17" s="11" t="inlineStr">
        <is>
          <t>Designer - Canvas</t>
        </is>
      </c>
      <c r="C17" s="12" t="inlineStr">
        <is>
          <t>Add a new tab</t>
        </is>
      </c>
      <c r="D17" s="12" t="inlineStr">
        <is>
          <t>A template open</t>
        </is>
      </c>
      <c r="E17" s="12" t="inlineStr">
        <is>
          <t>Add a whole new #TAB via the Add bar.</t>
        </is>
      </c>
      <c r="F17" s="12" t="inlineStr">
        <is>
          <t>A new tab is created and selectable.</t>
        </is>
      </c>
      <c r="G17" s="10" t="inlineStr">
        <is>
          <t>Not Run</t>
        </is>
      </c>
      <c r="H17" s="10" t="inlineStr"/>
      <c r="I17" s="12" t="inlineStr"/>
      <c r="J17" s="10" t="inlineStr"/>
      <c r="K17" s="12" t="inlineStr"/>
    </row>
    <row r="18">
      <c r="A18" s="13" t="inlineStr">
        <is>
          <t>TC-014</t>
        </is>
      </c>
      <c r="B18" s="14" t="inlineStr">
        <is>
          <t>Designer - Canvas</t>
        </is>
      </c>
      <c r="C18" s="15" t="inlineStr">
        <is>
          <t>Reorder tabs by drag</t>
        </is>
      </c>
      <c r="D18" s="15" t="inlineStr">
        <is>
          <t>A template with 2+ tabs</t>
        </is>
      </c>
      <c r="E18" s="15" t="inlineStr">
        <is>
          <t>In the flow preview, drag one tab's header onto another.</t>
        </is>
      </c>
      <c r="F18" s="15" t="inlineStr">
        <is>
          <t>A caret shows where it will land; the whole #TAB...#ENDTAB block moves with it.</t>
        </is>
      </c>
      <c r="G18" s="13" t="inlineStr">
        <is>
          <t>Not Run</t>
        </is>
      </c>
      <c r="H18" s="13" t="inlineStr"/>
      <c r="I18" s="15" t="inlineStr"/>
      <c r="J18" s="13" t="inlineStr"/>
      <c r="K18" s="15" t="inlineStr"/>
    </row>
    <row r="19">
      <c r="A19" s="10" t="inlineStr">
        <is>
          <t>TC-015</t>
        </is>
      </c>
      <c r="B19" s="11" t="inlineStr">
        <is>
          <t>Designer - Canvas</t>
        </is>
      </c>
      <c r="C19" s="12" t="inlineStr">
        <is>
          <t>Group box parenting</t>
        </is>
      </c>
      <c r="D19" s="12" t="inlineStr">
        <is>
          <t>A template with a group box</t>
        </is>
      </c>
      <c r="E19" s="12" t="inlineStr">
        <is>
          <t>Drop a control inside a group box, then move the box.</t>
        </is>
      </c>
      <c r="F19" s="12" t="inlineStr">
        <is>
          <t>The control becomes a child; moving the box carries its contents.</t>
        </is>
      </c>
      <c r="G19" s="10" t="inlineStr">
        <is>
          <t>Not Run</t>
        </is>
      </c>
      <c r="H19" s="10" t="inlineStr"/>
      <c r="I19" s="12" t="inlineStr"/>
      <c r="J19" s="10" t="inlineStr"/>
      <c r="K19" s="12" t="inlineStr"/>
    </row>
    <row r="20">
      <c r="A20" s="13" t="inlineStr">
        <is>
          <t>TC-016</t>
        </is>
      </c>
      <c r="B20" s="14" t="inlineStr">
        <is>
          <t>Designer - Canvas</t>
        </is>
      </c>
      <c r="C20" s="15" t="inlineStr">
        <is>
          <t>Align / distribute / size</t>
        </is>
      </c>
      <c r="D20" s="15" t="inlineStr">
        <is>
          <t>A template with several controls</t>
        </is>
      </c>
      <c r="E20" s="15" t="inlineStr">
        <is>
          <t>Multi-select 3+ controls; use Arrange menu (or right-click) to align, distribute, and size together.</t>
        </is>
      </c>
      <c r="F20" s="15" t="inlineStr">
        <is>
          <t>Selected controls align/distribute/size as chosen.</t>
        </is>
      </c>
      <c r="G20" s="13" t="inlineStr">
        <is>
          <t>Not Run</t>
        </is>
      </c>
      <c r="H20" s="13" t="inlineStr"/>
      <c r="I20" s="15" t="inlineStr"/>
      <c r="J20" s="13" t="inlineStr"/>
      <c r="K20" s="15" t="inlineStr"/>
    </row>
    <row r="21">
      <c r="A21" s="10" t="inlineStr">
        <is>
          <t>TC-017</t>
        </is>
      </c>
      <c r="B21" s="11" t="inlineStr">
        <is>
          <t>Designer - Canvas</t>
        </is>
      </c>
      <c r="C21" s="12" t="inlineStr">
        <is>
          <t>Group / ungroup</t>
        </is>
      </c>
      <c r="D21" s="12" t="inlineStr">
        <is>
          <t>A template with several controls</t>
        </is>
      </c>
      <c r="E21" s="12" t="inlineStr">
        <is>
          <t>Select controls and press Ctrl+G; then Ctrl+Shift+G.</t>
        </is>
      </c>
      <c r="F21" s="12" t="inlineStr">
        <is>
          <t>Ctrl+G groups them into a box; Ctrl+Shift+G ungroups.</t>
        </is>
      </c>
      <c r="G21" s="10" t="inlineStr">
        <is>
          <t>Not Run</t>
        </is>
      </c>
      <c r="H21" s="10" t="inlineStr"/>
      <c r="I21" s="12" t="inlineStr"/>
      <c r="J21" s="10" t="inlineStr"/>
      <c r="K21" s="12" t="inlineStr"/>
    </row>
    <row r="22">
      <c r="A22" s="13" t="inlineStr">
        <is>
          <t>TC-018</t>
        </is>
      </c>
      <c r="B22" s="14" t="inlineStr">
        <is>
          <t>Designer - Canvas</t>
        </is>
      </c>
      <c r="C22" s="15" t="inlineStr">
        <is>
          <t>Smart alignment guides</t>
        </is>
      </c>
      <c r="D22" s="15" t="inlineStr">
        <is>
          <t>A template open</t>
        </is>
      </c>
      <c r="E22" s="15" t="inlineStr">
        <is>
          <t>Drag a control near another control's edges.</t>
        </is>
      </c>
      <c r="F22" s="15" t="inlineStr">
        <is>
          <t>Snap guides appear with a live spacing readout.</t>
        </is>
      </c>
      <c r="G22" s="13" t="inlineStr">
        <is>
          <t>Not Run</t>
        </is>
      </c>
      <c r="H22" s="13" t="inlineStr"/>
      <c r="I22" s="15" t="inlineStr"/>
      <c r="J22" s="13" t="inlineStr"/>
      <c r="K22" s="15" t="inlineStr"/>
    </row>
    <row r="23">
      <c r="A23" s="10" t="inlineStr">
        <is>
          <t>TC-019</t>
        </is>
      </c>
      <c r="B23" s="11" t="inlineStr">
        <is>
          <t>Designer - Canvas</t>
        </is>
      </c>
      <c r="C23" s="12" t="inlineStr">
        <is>
          <t>Copy / cut / paste / duplicate</t>
        </is>
      </c>
      <c r="D23" s="12" t="inlineStr">
        <is>
          <t>A template open</t>
        </is>
      </c>
      <c r="E23" s="12" t="inlineStr">
        <is>
          <t>Use Ctrl+C, Ctrl+X, Ctrl+V, Ctrl+D on a control.</t>
        </is>
      </c>
      <c r="F23" s="12" t="inlineStr">
        <is>
          <t>Controls copy/cut/paste/duplicate, each paste getting fresh %symbols.</t>
        </is>
      </c>
      <c r="G23" s="10" t="inlineStr">
        <is>
          <t>Not Run</t>
        </is>
      </c>
      <c r="H23" s="10" t="inlineStr"/>
      <c r="I23" s="12" t="inlineStr"/>
      <c r="J23" s="10" t="inlineStr"/>
      <c r="K23" s="12" t="inlineStr"/>
    </row>
    <row r="24">
      <c r="A24" s="13" t="inlineStr">
        <is>
          <t>TC-020</t>
        </is>
      </c>
      <c r="B24" s="14" t="inlineStr">
        <is>
          <t>Designer - Canvas</t>
        </is>
      </c>
      <c r="C24" s="15" t="inlineStr">
        <is>
          <t>Delete referenced symbol warns</t>
        </is>
      </c>
      <c r="D24" s="15" t="inlineStr">
        <is>
          <t>A control whose %symbol is used elsewhere</t>
        </is>
      </c>
      <c r="E24" s="15" t="inlineStr">
        <is>
          <t>Delete that control.</t>
        </is>
      </c>
      <c r="F24" s="15" t="inlineStr">
        <is>
          <t>A modal warning appears so you don't silently break code generation.</t>
        </is>
      </c>
      <c r="G24" s="13" t="inlineStr">
        <is>
          <t>Not Run</t>
        </is>
      </c>
      <c r="H24" s="13" t="inlineStr"/>
      <c r="I24" s="15" t="inlineStr"/>
      <c r="J24" s="13" t="inlineStr"/>
      <c r="K24" s="15" t="inlineStr"/>
    </row>
    <row r="25">
      <c r="A25" s="10" t="inlineStr">
        <is>
          <t>TC-021</t>
        </is>
      </c>
      <c r="B25" s="11" t="inlineStr">
        <is>
          <t>Designer - Canvas</t>
        </is>
      </c>
      <c r="C25" s="12" t="inlineStr">
        <is>
          <t>Visibility guides</t>
        </is>
      </c>
      <c r="D25" s="12" t="inlineStr">
        <is>
          <t>A template open</t>
        </is>
      </c>
      <c r="E25" s="12" t="inlineStr">
        <is>
          <t>Move a control partly off the window, outside its group box, or give a label too little room.</t>
        </is>
      </c>
      <c r="F25" s="12" t="inlineStr">
        <is>
          <t>The offending control/label is highlighted in red/amber.</t>
        </is>
      </c>
      <c r="G25" s="10" t="inlineStr">
        <is>
          <t>Not Run</t>
        </is>
      </c>
      <c r="H25" s="10" t="inlineStr"/>
      <c r="I25" s="12" t="inlineStr"/>
      <c r="J25" s="10" t="inlineStr"/>
      <c r="K25" s="12" t="inlineStr"/>
    </row>
    <row r="26">
      <c r="A26" s="13" t="inlineStr">
        <is>
          <t>TC-022</t>
        </is>
      </c>
      <c r="B26" s="14" t="inlineStr">
        <is>
          <t>Designer - Properties</t>
        </is>
      </c>
      <c r="C26" s="15" t="inlineStr">
        <is>
          <t>Symbol + Uses list</t>
        </is>
      </c>
      <c r="D26" s="15" t="inlineStr">
        <is>
          <t>A template open</t>
        </is>
      </c>
      <c r="E26" s="15" t="inlineStr">
        <is>
          <t>Select a control; look at the Properties pad.</t>
        </is>
      </c>
      <c r="F26" s="15" t="inlineStr">
        <is>
          <t>It shows the control's %symbol and a navigable Uses list of every reference; clicking an entry jumps to that line.</t>
        </is>
      </c>
      <c r="G26" s="13" t="inlineStr">
        <is>
          <t>Not Run</t>
        </is>
      </c>
      <c r="H26" s="13" t="inlineStr"/>
      <c r="I26" s="15" t="inlineStr"/>
      <c r="J26" s="13" t="inlineStr"/>
      <c r="K26" s="15" t="inlineStr"/>
    </row>
    <row r="27">
      <c r="A27" s="10" t="inlineStr">
        <is>
          <t>TC-023</t>
        </is>
      </c>
      <c r="B27" s="11" t="inlineStr">
        <is>
          <t>Designer - Properties</t>
        </is>
      </c>
      <c r="C27" s="12" t="inlineStr">
        <is>
          <t>Rename everywhere</t>
        </is>
      </c>
      <c r="D27" s="12" t="inlineStr">
        <is>
          <t>A control selected</t>
        </is>
      </c>
      <c r="E27" s="12" t="inlineStr">
        <is>
          <t>Click Rename and give a new symbol name.</t>
        </is>
      </c>
      <c r="F27" s="12" t="inlineStr">
        <is>
          <t>The symbol is renamed in the prompt AND in every reference at once.</t>
        </is>
      </c>
      <c r="G27" s="10" t="inlineStr">
        <is>
          <t>Not Run</t>
        </is>
      </c>
      <c r="H27" s="10" t="inlineStr"/>
      <c r="I27" s="12" t="inlineStr"/>
      <c r="J27" s="10" t="inlineStr"/>
      <c r="K27" s="12" t="inlineStr"/>
    </row>
    <row r="28">
      <c r="A28" s="13" t="inlineStr">
        <is>
          <t>TC-024</t>
        </is>
      </c>
      <c r="B28" s="14" t="inlineStr">
        <is>
          <t>Designer - Properties</t>
        </is>
      </c>
      <c r="C28" s="15" t="inlineStr">
        <is>
          <t>Prompt type / REQ / DEFAULT</t>
        </is>
      </c>
      <c r="D28" s="15" t="inlineStr">
        <is>
          <t>An added #PROMPT selected</t>
        </is>
      </c>
      <c r="E28" s="15" t="inlineStr">
        <is>
          <t>Edit its type, REQ, and DEFAULT in the editor.</t>
        </is>
      </c>
      <c r="F28" s="15" t="inlineStr">
        <is>
          <t>The prompt updates with the chosen type/REQ/DEFAULT.</t>
        </is>
      </c>
      <c r="G28" s="13" t="inlineStr">
        <is>
          <t>Not Run</t>
        </is>
      </c>
      <c r="H28" s="13" t="inlineStr"/>
      <c r="I28" s="15" t="inlineStr"/>
      <c r="J28" s="13" t="inlineStr"/>
      <c r="K28" s="15" t="inlineStr"/>
    </row>
    <row r="29">
      <c r="A29" s="10" t="inlineStr">
        <is>
          <t>TC-025</t>
        </is>
      </c>
      <c r="B29" s="11" t="inlineStr">
        <is>
          <t>Designer - Properties</t>
        </is>
      </c>
      <c r="C29" s="12" t="inlineStr">
        <is>
          <t>Tab rename / delete</t>
        </is>
      </c>
      <c r="D29" s="12" t="inlineStr">
        <is>
          <t>A template with tabs</t>
        </is>
      </c>
      <c r="E29" s="12" t="inlineStr">
        <is>
          <t>Right-click a tab header; rename it; delete another.</t>
        </is>
      </c>
      <c r="F29" s="12" t="inlineStr">
        <is>
          <t>Tab renames and deletes correctly.</t>
        </is>
      </c>
      <c r="G29" s="10" t="inlineStr">
        <is>
          <t>Not Run</t>
        </is>
      </c>
      <c r="H29" s="10" t="inlineStr"/>
      <c r="I29" s="12" t="inlineStr"/>
      <c r="J29" s="10" t="inlineStr"/>
      <c r="K29" s="12" t="inlineStr"/>
    </row>
    <row r="30">
      <c r="A30" s="13" t="inlineStr">
        <is>
          <t>TC-026</t>
        </is>
      </c>
      <c r="B30" s="14" t="inlineStr">
        <is>
          <t>Designer - Properties</t>
        </is>
      </c>
      <c r="C30" s="15" t="inlineStr">
        <is>
          <t>Tab WHERE() condition</t>
        </is>
      </c>
      <c r="D30" s="15" t="inlineStr">
        <is>
          <t>A template with tabs</t>
        </is>
      </c>
      <c r="E30" s="15" t="inlineStr">
        <is>
          <t>Right-click a tab; edit its WHERE(...) visibility condition.</t>
        </is>
      </c>
      <c r="F30" s="15" t="inlineStr">
        <is>
          <t>The WHERE() condition is saved on the tab.</t>
        </is>
      </c>
      <c r="G30" s="13" t="inlineStr">
        <is>
          <t>Not Run</t>
        </is>
      </c>
      <c r="H30" s="13" t="inlineStr"/>
      <c r="I30" s="15" t="inlineStr"/>
      <c r="J30" s="13" t="inlineStr"/>
      <c r="K30" s="15" t="inlineStr"/>
    </row>
    <row r="31">
      <c r="A31" s="10" t="inlineStr">
        <is>
          <t>TC-027</t>
        </is>
      </c>
      <c r="B31" s="11" t="inlineStr">
        <is>
          <t>Designer - Properties</t>
        </is>
      </c>
      <c r="C31" s="12" t="inlineStr">
        <is>
          <t>Font style flags</t>
        </is>
      </c>
      <c r="D31" s="12" t="inlineStr">
        <is>
          <t>A control selected</t>
        </is>
      </c>
      <c r="E31" s="12" t="inlineStr">
        <is>
          <t>Toggle bold / italic / underline and pick a color.</t>
        </is>
      </c>
      <c r="F31" s="12" t="inlineStr">
        <is>
          <t>Styles apply (PROP:FontStyle/FontColor); the IDE dialog font is shown read-only.</t>
        </is>
      </c>
      <c r="G31" s="10" t="inlineStr">
        <is>
          <t>Not Run</t>
        </is>
      </c>
      <c r="H31" s="10" t="inlineStr"/>
      <c r="I31" s="12" t="inlineStr"/>
      <c r="J31" s="10" t="inlineStr"/>
      <c r="K31" s="12" t="inlineStr"/>
    </row>
    <row r="32">
      <c r="A32" s="13" t="inlineStr">
        <is>
          <t>TC-028</t>
        </is>
      </c>
      <c r="B32" s="14" t="inlineStr">
        <is>
          <t>Designer - Panels</t>
        </is>
      </c>
      <c r="C32" s="15" t="inlineStr">
        <is>
          <t>Outline panel</t>
        </is>
      </c>
      <c r="D32" s="15" t="inlineStr">
        <is>
          <t>A template open</t>
        </is>
      </c>
      <c r="E32" s="15" t="inlineStr">
        <is>
          <t>Open the Outline panel; use its find box.</t>
        </is>
      </c>
      <c r="F32" s="15" t="inlineStr">
        <is>
          <t>It shows the #SHEET/#TAB/#BOXED/control tree; find filters it.</t>
        </is>
      </c>
      <c r="G32" s="13" t="inlineStr">
        <is>
          <t>Not Run</t>
        </is>
      </c>
      <c r="H32" s="13" t="inlineStr"/>
      <c r="I32" s="15" t="inlineStr"/>
      <c r="J32" s="13" t="inlineStr"/>
      <c r="K32" s="15" t="inlineStr"/>
    </row>
    <row r="33">
      <c r="A33" s="10" t="inlineStr">
        <is>
          <t>TC-029</t>
        </is>
      </c>
      <c r="B33" s="11" t="inlineStr">
        <is>
          <t>Designer - Panels</t>
        </is>
      </c>
      <c r="C33" s="12" t="inlineStr">
        <is>
          <t>Symbols panel</t>
        </is>
      </c>
      <c r="D33" s="12" t="inlineStr">
        <is>
          <t>A template open</t>
        </is>
      </c>
      <c r="E33" s="12" t="inlineStr">
        <is>
          <t>Open the Symbols panel; click a symbol.</t>
        </is>
      </c>
      <c r="F33" s="12" t="inlineStr">
        <is>
          <t>Lists every %symbol with a use count; clicking jumps to it.</t>
        </is>
      </c>
      <c r="G33" s="10" t="inlineStr">
        <is>
          <t>Not Run</t>
        </is>
      </c>
      <c r="H33" s="10" t="inlineStr"/>
      <c r="I33" s="12" t="inlineStr"/>
      <c r="J33" s="10" t="inlineStr"/>
      <c r="K33" s="12" t="inlineStr"/>
    </row>
    <row r="34">
      <c r="A34" s="13" t="inlineStr">
        <is>
          <t>TC-030</t>
        </is>
      </c>
      <c r="B34" s="14" t="inlineStr">
        <is>
          <t>Designer - Panels</t>
        </is>
      </c>
      <c r="C34" s="15" t="inlineStr">
        <is>
          <t>Problems panel</t>
        </is>
      </c>
      <c r="D34" s="15" t="inlineStr">
        <is>
          <t>A template open (ideally with an issue)</t>
        </is>
      </c>
      <c r="E34" s="15" t="inlineStr">
        <is>
          <t>Open the Problems panel; click an entry.</t>
        </is>
      </c>
      <c r="F34" s="15" t="inlineStr">
        <is>
          <t>Flags unbalanced blocks, duplicate/unused symbols, off-canvas/overlap, risky auto-prompts; clicking jumps to the spot.</t>
        </is>
      </c>
      <c r="G34" s="13" t="inlineStr">
        <is>
          <t>Not Run</t>
        </is>
      </c>
      <c r="H34" s="13" t="inlineStr"/>
      <c r="I34" s="15" t="inlineStr"/>
      <c r="J34" s="13" t="inlineStr"/>
      <c r="K34" s="15" t="inlineStr"/>
    </row>
    <row r="35">
      <c r="A35" s="10" t="inlineStr">
        <is>
          <t>TC-031</t>
        </is>
      </c>
      <c r="B35" s="11" t="inlineStr">
        <is>
          <t>Designer - Source</t>
        </is>
      </c>
      <c r="C35" s="12" t="inlineStr">
        <is>
          <t>Find / replace</t>
        </is>
      </c>
      <c r="D35" s="12" t="inlineStr">
        <is>
          <t>Source panel visible</t>
        </is>
      </c>
      <c r="E35" s="12" t="inlineStr">
        <is>
          <t>Press Ctrl+F; find and replace text.</t>
        </is>
      </c>
      <c r="F35" s="12" t="inlineStr">
        <is>
          <t>Find/replace works in the source panel.</t>
        </is>
      </c>
      <c r="G35" s="10" t="inlineStr">
        <is>
          <t>Not Run</t>
        </is>
      </c>
      <c r="H35" s="10" t="inlineStr"/>
      <c r="I35" s="12" t="inlineStr"/>
      <c r="J35" s="10" t="inlineStr"/>
      <c r="K35" s="12" t="inlineStr"/>
    </row>
    <row r="36">
      <c r="A36" s="13" t="inlineStr">
        <is>
          <t>TC-032</t>
        </is>
      </c>
      <c r="B36" s="14" t="inlineStr">
        <is>
          <t>Designer - Source</t>
        </is>
      </c>
      <c r="C36" s="15" t="inlineStr">
        <is>
          <t>Autocomplete</t>
        </is>
      </c>
      <c r="D36" s="15" t="inlineStr">
        <is>
          <t>Source panel visible</t>
        </is>
      </c>
      <c r="E36" s="15" t="inlineStr">
        <is>
          <t>Start typing a %symbol and a #directive.</t>
        </is>
      </c>
      <c r="F36" s="15" t="inlineStr">
        <is>
          <t>Autocomplete suggests %symbols and #directives.</t>
        </is>
      </c>
      <c r="G36" s="13" t="inlineStr">
        <is>
          <t>Not Run</t>
        </is>
      </c>
      <c r="H36" s="13" t="inlineStr"/>
      <c r="I36" s="15" t="inlineStr"/>
      <c r="J36" s="13" t="inlineStr"/>
      <c r="K36" s="15" t="inlineStr"/>
    </row>
    <row r="37">
      <c r="A37" s="10" t="inlineStr">
        <is>
          <t>TC-033</t>
        </is>
      </c>
      <c r="B37" s="11" t="inlineStr">
        <is>
          <t>Designer - Source</t>
        </is>
      </c>
      <c r="C37" s="12" t="inlineStr">
        <is>
          <t>Preview changes diff</t>
        </is>
      </c>
      <c r="D37" s="12" t="inlineStr">
        <is>
          <t>Edited a template</t>
        </is>
      </c>
      <c r="E37" s="12" t="inlineStr">
        <is>
          <t>File &gt; Preview changes.</t>
        </is>
      </c>
      <c r="F37" s="12" t="inlineStr">
        <is>
          <t>A colour-coded, per-file diff shows exactly what a save will write.</t>
        </is>
      </c>
      <c r="G37" s="10" t="inlineStr">
        <is>
          <t>Not Run</t>
        </is>
      </c>
      <c r="H37" s="10" t="inlineStr"/>
      <c r="I37" s="12" t="inlineStr"/>
      <c r="J37" s="10" t="inlineStr"/>
      <c r="K37" s="12" t="inlineStr"/>
    </row>
    <row r="38">
      <c r="A38" s="13" t="inlineStr">
        <is>
          <t>TC-034</t>
        </is>
      </c>
      <c r="B38" s="14" t="inlineStr">
        <is>
          <t>Designer - Source</t>
        </is>
      </c>
      <c r="C38" s="15" t="inlineStr">
        <is>
          <t>Save writes minimal change</t>
        </is>
      </c>
      <c r="D38" s="15" t="inlineStr">
        <is>
          <t>Edited control positions</t>
        </is>
      </c>
      <c r="E38" s="15" t="inlineStr">
        <is>
          <t>Save, then reopen the file.</t>
        </is>
      </c>
      <c r="F38" s="15" t="inlineStr">
        <is>
          <t>Only AT values change (plus any deletes/relocations); the rest of the file is untouched.</t>
        </is>
      </c>
      <c r="G38" s="13" t="inlineStr">
        <is>
          <t>Not Run</t>
        </is>
      </c>
      <c r="H38" s="13" t="inlineStr"/>
      <c r="I38" s="15" t="inlineStr"/>
      <c r="J38" s="13" t="inlineStr"/>
      <c r="K38" s="15" t="inlineStr"/>
    </row>
    <row r="39">
      <c r="A39" s="10" t="inlineStr">
        <is>
          <t>TC-035</t>
        </is>
      </c>
      <c r="B39" s="11" t="inlineStr">
        <is>
          <t>Designer - Source</t>
        </is>
      </c>
      <c r="C39" s="12" t="inlineStr">
        <is>
          <t>True layout matches</t>
        </is>
      </c>
      <c r="D39" s="12" t="inlineStr">
        <is>
          <t>A template open</t>
        </is>
      </c>
      <c r="E39" s="12" t="inlineStr">
        <is>
          <t>Toggle True layout preview; compare with the canvas and (if possible) with Clarion's AppGen.</t>
        </is>
      </c>
      <c r="F39" s="12" t="inlineStr">
        <is>
          <t>True layout mirrors the canvas and matches what Clarion draws.</t>
        </is>
      </c>
      <c r="G39" s="10" t="inlineStr">
        <is>
          <t>Not Run</t>
        </is>
      </c>
      <c r="H39" s="10" t="inlineStr"/>
      <c r="I39" s="12" t="inlineStr"/>
      <c r="J39" s="10" t="inlineStr"/>
      <c r="K39" s="12" t="inlineStr"/>
    </row>
    <row r="40">
      <c r="A40" s="13" t="inlineStr">
        <is>
          <t>TC-036</t>
        </is>
      </c>
      <c r="B40" s="14" t="inlineStr">
        <is>
          <t>Templates - Setup</t>
        </is>
      </c>
      <c r="C40" s="15" t="inlineStr">
        <is>
          <t>Register templates in Clarion</t>
        </is>
      </c>
      <c r="D40" s="15" t="inlineStr">
        <is>
          <t>Clarion 12 installed</t>
        </is>
      </c>
      <c r="E40" s="15" t="inlineStr">
        <is>
          <t>In the IDE: Setup &gt; Template Registry &gt; Register, and register each shipped .tpl.</t>
        </is>
      </c>
      <c r="F40" s="15" t="inlineStr">
        <is>
          <t>All templates register with no 'Expected an identifier'/parse errors.</t>
        </is>
      </c>
      <c r="G40" s="13" t="inlineStr">
        <is>
          <t>Not Run</t>
        </is>
      </c>
      <c r="H40" s="13" t="inlineStr"/>
      <c r="I40" s="15" t="inlineStr"/>
      <c r="J40" s="13" t="inlineStr"/>
      <c r="K40" s="15" t="inlineStr"/>
    </row>
    <row r="41">
      <c r="A41" s="10" t="inlineStr">
        <is>
          <t>TC-037</t>
        </is>
      </c>
      <c r="B41" s="11" t="inlineStr">
        <is>
          <t>Template: myPixel</t>
        </is>
      </c>
      <c r="C41" s="12" t="inlineStr">
        <is>
          <t>Diagnostic pixel</t>
        </is>
      </c>
      <c r="D41" s="12" t="inlineStr">
        <is>
          <t>myPixel.tpl registered</t>
        </is>
      </c>
      <c r="E41" s="12" t="inlineStr">
        <is>
          <t>Add myPixel to a window procedure; generate, compile, run.</t>
        </is>
      </c>
      <c r="F41" s="12" t="inlineStr">
        <is>
          <t>The per-window diagnostic pixel behaves as documented; app compiles and runs.</t>
        </is>
      </c>
      <c r="G41" s="10" t="inlineStr">
        <is>
          <t>Not Run</t>
        </is>
      </c>
      <c r="H41" s="10" t="inlineStr"/>
      <c r="I41" s="12" t="inlineStr"/>
      <c r="J41" s="10" t="inlineStr"/>
      <c r="K41" s="12" t="inlineStr"/>
    </row>
    <row r="42">
      <c r="A42" s="13" t="inlineStr">
        <is>
          <t>TC-038</t>
        </is>
      </c>
      <c r="B42" s="14" t="inlineStr">
        <is>
          <t>Template: showLine</t>
        </is>
      </c>
      <c r="C42" s="15" t="inlineStr">
        <is>
          <t>Where-am-I hotkey</t>
        </is>
      </c>
      <c r="D42" s="15" t="inlineStr">
        <is>
          <t>showLine.tpl registered</t>
        </is>
      </c>
      <c r="E42" s="15" t="inlineStr">
        <is>
          <t>Add showLine to a window; run; press Ctrl+Shift+P.</t>
        </is>
      </c>
      <c r="F42" s="15" t="inlineStr">
        <is>
          <t>Shows the current line/location as documented.</t>
        </is>
      </c>
      <c r="G42" s="13" t="inlineStr">
        <is>
          <t>Not Run</t>
        </is>
      </c>
      <c r="H42" s="13" t="inlineStr"/>
      <c r="I42" s="15" t="inlineStr"/>
      <c r="J42" s="13" t="inlineStr"/>
      <c r="K42" s="15" t="inlineStr"/>
    </row>
    <row r="43">
      <c r="A43" s="10" t="inlineStr">
        <is>
          <t>TC-039</t>
        </is>
      </c>
      <c r="B43" s="11" t="inlineStr">
        <is>
          <t>Template: identifier</t>
        </is>
      </c>
      <c r="C43" s="12" t="inlineStr">
        <is>
          <t>Procedure name hotkey</t>
        </is>
      </c>
      <c r="D43" s="12" t="inlineStr">
        <is>
          <t>identifier.tpl registered</t>
        </is>
      </c>
      <c r="E43" s="12" t="inlineStr">
        <is>
          <t>Add identifier to a window; run; press Ctrl+Shift+I.</t>
        </is>
      </c>
      <c r="F43" s="12" t="inlineStr">
        <is>
          <t>Displays the procedure name.</t>
        </is>
      </c>
      <c r="G43" s="10" t="inlineStr">
        <is>
          <t>Not Run</t>
        </is>
      </c>
      <c r="H43" s="10" t="inlineStr"/>
      <c r="I43" s="12" t="inlineStr"/>
      <c r="J43" s="10" t="inlineStr"/>
      <c r="K43" s="12" t="inlineStr"/>
    </row>
    <row r="44">
      <c r="A44" s="13" t="inlineStr">
        <is>
          <t>TC-040</t>
        </is>
      </c>
      <c r="B44" s="14" t="inlineStr">
        <is>
          <t>Template: myFuncs</t>
        </is>
      </c>
      <c r="C44" s="15" t="inlineStr">
        <is>
          <t>Global function library</t>
        </is>
      </c>
      <c r="D44" s="15" t="inlineStr">
        <is>
          <t>myFuncs registered</t>
        </is>
      </c>
      <c r="E44" s="15" t="inlineStr">
        <is>
          <t>Add the global myFuncs extension; call a provided function from code; compile and run.</t>
        </is>
      </c>
      <c r="F44" s="15" t="inlineStr">
        <is>
          <t>Functions are available globally and return correct results.</t>
        </is>
      </c>
      <c r="G44" s="13" t="inlineStr">
        <is>
          <t>Not Run</t>
        </is>
      </c>
      <c r="H44" s="13" t="inlineStr"/>
      <c r="I44" s="15" t="inlineStr"/>
      <c r="J44" s="13" t="inlineStr"/>
      <c r="K44" s="15" t="inlineStr"/>
    </row>
    <row r="45">
      <c r="A45" s="10" t="inlineStr">
        <is>
          <t>TC-041</t>
        </is>
      </c>
      <c r="B45" s="11" t="inlineStr">
        <is>
          <t>Template: myPie</t>
        </is>
      </c>
      <c r="C45" s="12" t="inlineStr">
        <is>
          <t>Pie chart + legend</t>
        </is>
      </c>
      <c r="D45" s="12" t="inlineStr">
        <is>
          <t>myPie registered; window has an IMAGE control</t>
        </is>
      </c>
      <c r="E45" s="12" t="inlineStr">
        <is>
          <t>Add myPieGlobal (app) + myPie (window); define segments; set legend/percent/depth/colors; generate, compile, run; resize the window.</t>
        </is>
      </c>
      <c r="F45" s="12" t="inlineStr">
        <is>
          <t>A pie with legend draws into the image; it redraws on open and resize; DO myPieRepaint updates it at run time.</t>
        </is>
      </c>
      <c r="G45" s="10" t="inlineStr">
        <is>
          <t>Not Run</t>
        </is>
      </c>
      <c r="H45" s="10" t="inlineStr"/>
      <c r="I45" s="12" t="inlineStr"/>
      <c r="J45" s="10" t="inlineStr"/>
      <c r="K45" s="12" t="inlineStr"/>
    </row>
    <row r="46">
      <c r="A46" s="13" t="inlineStr">
        <is>
          <t>TC-042</t>
        </is>
      </c>
      <c r="B46" s="14" t="inlineStr">
        <is>
          <t>Template: myFontChanger</t>
        </is>
      </c>
      <c r="C46" s="15" t="inlineStr">
        <is>
          <t>Global + per-list fonts</t>
        </is>
      </c>
      <c r="D46" s="15" t="inlineStr">
        <is>
          <t>myFontChanger registered</t>
        </is>
      </c>
      <c r="E46" s="15" t="inlineStr">
        <is>
          <t>Add the global font changer and a per-list font picker; compile, run.</t>
        </is>
      </c>
      <c r="F46" s="15" t="inlineStr">
        <is>
          <t>Fonts apply globally and per list as configured.</t>
        </is>
      </c>
      <c r="G46" s="13" t="inlineStr">
        <is>
          <t>Not Run</t>
        </is>
      </c>
      <c r="H46" s="13" t="inlineStr"/>
      <c r="I46" s="15" t="inlineStr"/>
      <c r="J46" s="13" t="inlineStr"/>
      <c r="K46" s="15" t="inlineStr"/>
    </row>
    <row r="47">
      <c r="A47" s="10" t="inlineStr">
        <is>
          <t>TC-043</t>
        </is>
      </c>
      <c r="B47" s="11" t="inlineStr">
        <is>
          <t>Template: myBackground</t>
        </is>
      </c>
      <c r="C47" s="12" t="inlineStr">
        <is>
          <t>Per-window background</t>
        </is>
      </c>
      <c r="D47" s="12" t="inlineStr">
        <is>
          <t>myBackground registered</t>
        </is>
      </c>
      <c r="E47" s="12" t="inlineStr">
        <is>
          <t>Add the global default + per-window extension; run; press Ctrl+Shift+B; pick a color, then an image; reopen the app.</t>
        </is>
      </c>
      <c r="F47" s="12" t="inlineStr">
        <is>
          <t>Background color/image apply per window and persist via INI across runs.</t>
        </is>
      </c>
      <c r="G47" s="10" t="inlineStr">
        <is>
          <t>Not Run</t>
        </is>
      </c>
      <c r="H47" s="10" t="inlineStr"/>
      <c r="I47" s="12" t="inlineStr"/>
      <c r="J47" s="10" t="inlineStr"/>
      <c r="K47" s="12" t="inlineStr"/>
    </row>
    <row r="48">
      <c r="A48" s="13" t="inlineStr">
        <is>
          <t>TC-044</t>
        </is>
      </c>
      <c r="B48" s="14" t="inlineStr">
        <is>
          <t>Template: myQR (online)</t>
        </is>
      </c>
      <c r="C48" s="15" t="inlineStr">
        <is>
          <t>QR from web service</t>
        </is>
      </c>
      <c r="D48" s="15" t="inlineStr">
        <is>
          <t>myQR registered; internet available; IMAGE control on window</t>
        </is>
      </c>
      <c r="E48" s="15" t="inlineStr">
        <is>
          <t>Add myQR; set a value (literal), size, ECC; enable auto-refresh; compile, run; scan with a phone; change the value and confirm refresh.</t>
        </is>
      </c>
      <c r="F48" s="15" t="inlineStr">
        <is>
          <t>A QR loads from the web service and scans to the value; auto-refresh redraws on change. (Needs internet.)</t>
        </is>
      </c>
      <c r="G48" s="13" t="inlineStr">
        <is>
          <t>Not Run</t>
        </is>
      </c>
      <c r="H48" s="13" t="inlineStr"/>
      <c r="I48" s="15" t="inlineStr"/>
      <c r="J48" s="13" t="inlineStr"/>
      <c r="K48" s="15" t="inlineStr"/>
    </row>
    <row r="49">
      <c r="A49" s="10" t="inlineStr">
        <is>
          <t>TC-045</t>
        </is>
      </c>
      <c r="B49" s="11" t="inlineStr">
        <is>
          <t>Template: myQRDraw (window)</t>
        </is>
      </c>
      <c r="C49" s="12" t="inlineStr">
        <is>
          <t>Offline QR self-test</t>
        </is>
      </c>
      <c r="D49" s="12" t="inlineStr">
        <is>
          <t>myQRDrawGlobal + myQRDraw added; square IMAGE control</t>
        </is>
      </c>
      <c r="E49" s="12" t="inlineStr">
        <is>
          <t>Tick 'Draw self-test (HELLO WORLD)'; generate, compile, run; scan the code with a phone.</t>
        </is>
      </c>
      <c r="F49" s="12" t="inlineStr">
        <is>
          <t>An offline QR draws (no internet) and scans to exactly HELLO WORLD.</t>
        </is>
      </c>
      <c r="G49" s="10" t="inlineStr">
        <is>
          <t>Not Run</t>
        </is>
      </c>
      <c r="H49" s="10" t="inlineStr"/>
      <c r="I49" s="12" t="inlineStr"/>
      <c r="J49" s="10" t="inlineStr"/>
      <c r="K49" s="12" t="inlineStr"/>
    </row>
    <row r="50">
      <c r="A50" s="13" t="inlineStr">
        <is>
          <t>TC-046</t>
        </is>
      </c>
      <c r="B50" s="14" t="inlineStr">
        <is>
          <t>Template: myQRDraw (window)</t>
        </is>
      </c>
      <c r="C50" s="15" t="inlineStr">
        <is>
          <t>Offline QR live value</t>
        </is>
      </c>
      <c r="D50" s="15" t="inlineStr">
        <is>
          <t>myQRDraw on a window</t>
        </is>
      </c>
      <c r="E50" s="15" t="inlineStr">
        <is>
          <t>Untick self-test; set a real value (literal, then a variable + DO myQRDrawRepaint); resize the window.</t>
        </is>
      </c>
      <c r="F50" s="15" t="inlineStr">
        <is>
          <t>The code encodes the value, scans correctly, redraws on resize, and updates when the variable changes.</t>
        </is>
      </c>
      <c r="G50" s="13" t="inlineStr">
        <is>
          <t>Not Run</t>
        </is>
      </c>
      <c r="H50" s="13" t="inlineStr"/>
      <c r="I50" s="15" t="inlineStr"/>
      <c r="J50" s="13" t="inlineStr"/>
      <c r="K50" s="15" t="inlineStr"/>
    </row>
    <row r="51">
      <c r="A51" s="10" t="inlineStr">
        <is>
          <t>TC-047</t>
        </is>
      </c>
      <c r="B51" s="11" t="inlineStr">
        <is>
          <t>Template: myQRDrawReport</t>
        </is>
      </c>
      <c r="C51" s="12" t="inlineStr">
        <is>
          <t>QR on a report (per record)</t>
        </is>
      </c>
      <c r="D51" s="12" t="inlineStr">
        <is>
          <t>myQRDrawGlobal added; a REPORT with an IMAGE control (with a USE/field-equate) in the detail band</t>
        </is>
      </c>
      <c r="E51" s="12" t="inlineStr">
        <is>
          <t>Add myQRDrawReport; pick the report image control (the picker lists report controls); set a per-record value; print/preview; scan a row.</t>
        </is>
      </c>
      <c r="F51" s="12" t="inlineStr">
        <is>
          <t>One QR is drawn per record in the detail band and scans to that row's value.</t>
        </is>
      </c>
      <c r="G51" s="10" t="inlineStr">
        <is>
          <t>Not Run</t>
        </is>
      </c>
      <c r="H51" s="10" t="inlineStr"/>
      <c r="I51" s="12" t="inlineStr"/>
      <c r="J51" s="10" t="inlineStr"/>
      <c r="K51" s="12" t="inlineStr"/>
    </row>
    <row r="52">
      <c r="A52" s="13" t="inlineStr">
        <is>
          <t>TC-048</t>
        </is>
      </c>
      <c r="B52" s="14" t="inlineStr">
        <is>
          <t>Template: myQRDrawReport</t>
        </is>
      </c>
      <c r="C52" s="15" t="inlineStr">
        <is>
          <t>Report self-test</t>
        </is>
      </c>
      <c r="D52" s="15" t="inlineStr">
        <is>
          <t>myQRDrawReport on a report</t>
        </is>
      </c>
      <c r="E52" s="15" t="inlineStr">
        <is>
          <t>Tick the report self-test; print/preview; scan a printed code.</t>
        </is>
      </c>
      <c r="F52" s="15" t="inlineStr">
        <is>
          <t>Each row shows a QR reading HELLO WORLD.</t>
        </is>
      </c>
      <c r="G52" s="13" t="inlineStr">
        <is>
          <t>Not Run</t>
        </is>
      </c>
      <c r="H52" s="13" t="inlineStr"/>
      <c r="I52" s="15" t="inlineStr"/>
      <c r="J52" s="13" t="inlineStr"/>
      <c r="K52" s="15" t="inlineStr"/>
    </row>
    <row r="53">
      <c r="A53" s="10" t="inlineStr">
        <is>
          <t>TC-049</t>
        </is>
      </c>
      <c r="B53" s="11" t="inlineStr">
        <is>
          <t>QR Encoder</t>
        </is>
      </c>
      <c r="C53" s="12" t="inlineStr">
        <is>
          <t>Automated tests (dev)</t>
        </is>
      </c>
      <c r="D53" s="12" t="inlineStr">
        <is>
          <t>Repo + .NET 9 SDK (technical testers only; else mark Skipped)</t>
        </is>
      </c>
      <c r="E53" s="12" t="inlineStr">
        <is>
          <t>Run: dotnet test designer/QrCodeCore.Tests</t>
        </is>
      </c>
      <c r="F53" s="12" t="inlineStr">
        <is>
          <t>All tests pass (round-trip via ZXing, Reed-Solomon ISO vector, HELLO WORLD golden matrix).</t>
        </is>
      </c>
      <c r="G53" s="10" t="inlineStr">
        <is>
          <t>Not Run</t>
        </is>
      </c>
      <c r="H53" s="10" t="inlineStr"/>
      <c r="I53" s="12" t="inlineStr"/>
      <c r="J53" s="10" t="inlineStr"/>
      <c r="K53" s="12" t="inlineStr"/>
    </row>
    <row r="54">
      <c r="A54" s="13" t="inlineStr">
        <is>
          <t>TC-050</t>
        </is>
      </c>
      <c r="B54" s="14" t="inlineStr">
        <is>
          <t>General / UX</t>
        </is>
      </c>
      <c r="C54" s="15" t="inlineStr">
        <is>
          <t>Professional look, no purple</t>
        </is>
      </c>
      <c r="D54" s="15" t="inlineStr">
        <is>
          <t>App open</t>
        </is>
      </c>
      <c r="E54" s="15" t="inlineStr">
        <is>
          <t>Browse the UI and dialogs.</t>
        </is>
      </c>
      <c r="F54" s="15" t="inlineStr">
        <is>
          <t>Colors look professional; there is no purple anywhere.</t>
        </is>
      </c>
      <c r="G54" s="13" t="inlineStr">
        <is>
          <t>Not Run</t>
        </is>
      </c>
      <c r="H54" s="13" t="inlineStr"/>
      <c r="I54" s="15" t="inlineStr"/>
      <c r="J54" s="13" t="inlineStr"/>
      <c r="K54" s="15" t="inlineStr"/>
    </row>
    <row r="55">
      <c r="A55" s="10" t="inlineStr">
        <is>
          <t>TC-051</t>
        </is>
      </c>
      <c r="B55" s="11" t="inlineStr">
        <is>
          <t>General / UX</t>
        </is>
      </c>
      <c r="C55" s="12" t="inlineStr">
        <is>
          <t>Modal popups (not alerts)</t>
        </is>
      </c>
      <c r="D55" s="12" t="inlineStr">
        <is>
          <t>App open</t>
        </is>
      </c>
      <c r="E55" s="12" t="inlineStr">
        <is>
          <t>Trigger confirmations/warnings.</t>
        </is>
      </c>
      <c r="F55" s="12" t="inlineStr">
        <is>
          <t>They appear as modal popups, not plain alert message boxes.</t>
        </is>
      </c>
      <c r="G55" s="10" t="inlineStr">
        <is>
          <t>Not Run</t>
        </is>
      </c>
      <c r="H55" s="10" t="inlineStr"/>
      <c r="I55" s="12" t="inlineStr"/>
      <c r="J55" s="10" t="inlineStr"/>
      <c r="K55" s="12" t="inlineStr"/>
    </row>
    <row r="56">
      <c r="A56" s="13" t="inlineStr">
        <is>
          <t>TC-052</t>
        </is>
      </c>
      <c r="B56" s="14" t="inlineStr">
        <is>
          <t>General / UX</t>
        </is>
      </c>
      <c r="C56" s="15" t="inlineStr">
        <is>
          <t>DPI / resize</t>
        </is>
      </c>
      <c r="D56" s="15" t="inlineStr">
        <is>
          <t>App open</t>
        </is>
      </c>
      <c r="E56" s="15" t="inlineStr">
        <is>
          <t>Resize the window; try a high-DPI display / scaling if available.</t>
        </is>
      </c>
      <c r="F56" s="15" t="inlineStr">
        <is>
          <t>Layout scales cleanly; nothing is clipped or blurry.</t>
        </is>
      </c>
      <c r="G56" s="13" t="inlineStr">
        <is>
          <t>Not Run</t>
        </is>
      </c>
      <c r="H56" s="13" t="inlineStr"/>
      <c r="I56" s="15" t="inlineStr"/>
      <c r="J56" s="13" t="inlineStr"/>
      <c r="K56" s="15" t="inlineStr"/>
    </row>
    <row r="57">
      <c r="A57" s="10" t="inlineStr">
        <is>
          <t>TC-053</t>
        </is>
      </c>
      <c r="B57" s="11" t="inlineStr">
        <is>
          <t>General / UX</t>
        </is>
      </c>
      <c r="C57" s="12" t="inlineStr">
        <is>
          <t>Stability</t>
        </is>
      </c>
      <c r="D57" s="12" t="inlineStr">
        <is>
          <t>Whole session</t>
        </is>
      </c>
      <c r="E57" s="12" t="inlineStr">
        <is>
          <t>Use the app for an extended session across many templates.</t>
        </is>
      </c>
      <c r="F57" s="12" t="inlineStr">
        <is>
          <t>No crashes, hangs, or unhandled-exception dialogs.</t>
        </is>
      </c>
      <c r="G57" s="10" t="inlineStr">
        <is>
          <t>Not Run</t>
        </is>
      </c>
      <c r="H57" s="10" t="inlineStr"/>
      <c r="I57" s="12" t="inlineStr"/>
      <c r="J57" s="10" t="inlineStr"/>
      <c r="K57" s="12" t="inlineStr"/>
    </row>
  </sheetData>
  <autoFilter ref="A4:K57"/>
  <mergeCells count="2">
    <mergeCell ref="A2:K2"/>
    <mergeCell ref="A1:K1"/>
  </mergeCells>
  <conditionalFormatting sqref="G5:G5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"Skipped"</formula>
    </cfRule>
  </conditionalFormatting>
  <dataValidations count="2">
    <dataValidation sqref="G5:G57" showDropDown="0" showInputMessage="0" showErrorMessage="0" allowBlank="0" type="list">
      <formula1>"Not Run,Pass,Fail,Blocked,Skipped"</formula1>
    </dataValidation>
    <dataValidation sqref="H5:H57" showDropDown="0" showInputMessage="0" showErrorMessage="0" allowBlank="1" type="list">
      <formula1>"-,Critical,High,Medium,Low"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0" customWidth="1" min="4" max="4"/>
    <col width="11" customWidth="1" min="5" max="5"/>
    <col width="13" customWidth="1" min="6" max="6"/>
    <col width="16" customWidth="1" min="7" max="7"/>
    <col width="12" customWidth="1" min="8" max="8"/>
  </cols>
  <sheetData>
    <row r="1" ht="34" customHeight="1">
      <c r="A1" s="4" t="inlineStr">
        <is>
          <t>Bug Log</t>
        </is>
      </c>
    </row>
    <row r="2" ht="20" customHeight="1">
      <c r="A2" s="5" t="inlineStr">
        <is>
          <t>One row per defect. Reference the Test ID it came from.</t>
        </is>
      </c>
    </row>
    <row r="4" ht="26" customHeight="1">
      <c r="A4" s="6" t="inlineStr">
        <is>
          <t>Bug ID</t>
        </is>
      </c>
      <c r="B4" s="6" t="inlineStr">
        <is>
          <t>Test ID</t>
        </is>
      </c>
      <c r="C4" s="6" t="inlineStr">
        <is>
          <t>Summary</t>
        </is>
      </c>
      <c r="D4" s="6" t="inlineStr">
        <is>
          <t>Steps to reproduce / details</t>
        </is>
      </c>
      <c r="E4" s="6" t="inlineStr">
        <is>
          <t>Severity</t>
        </is>
      </c>
      <c r="F4" s="6" t="inlineStr">
        <is>
          <t>Status</t>
        </is>
      </c>
      <c r="G4" s="6" t="inlineStr">
        <is>
          <t>Reported by</t>
        </is>
      </c>
      <c r="H4" s="6" t="inlineStr">
        <is>
          <t>Date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</sheetData>
  <mergeCells count="2">
    <mergeCell ref="A2:H2"/>
    <mergeCell ref="A1:H1"/>
  </mergeCells>
  <dataValidations count="2">
    <dataValidation sqref="E5:E40" showDropDown="0" showInputMessage="0" showErrorMessage="0" allowBlank="1" type="list">
      <formula1>"-,Critical,High,Medium,Low"</formula1>
    </dataValidation>
    <dataValidation sqref="F5:F40" showDropDown="0" showInputMessage="0" showErrorMessage="0" allowBlank="1" type="list">
      <formula1>"Open,Fixed,Verified,Won't Fix,Duplicate"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</cols>
  <sheetData>
    <row r="1" ht="30" customHeight="1">
      <c r="A1" s="16" t="inlineStr">
        <is>
          <t>Results Summary</t>
        </is>
      </c>
    </row>
    <row r="3">
      <c r="B3" s="17" t="inlineStr">
        <is>
          <t>Total test cases</t>
        </is>
      </c>
      <c r="C3" s="18">
        <f>COUNTA('Test Cases'!A5:A57)</f>
        <v/>
      </c>
    </row>
    <row r="4">
      <c r="B4" s="19" t="inlineStr">
        <is>
          <t>Pass</t>
        </is>
      </c>
      <c r="C4" s="18">
        <f>COUNTIF('Test Cases'!G5:G57,"Pass")</f>
        <v/>
      </c>
    </row>
    <row r="5">
      <c r="B5" s="19" t="inlineStr">
        <is>
          <t>Fail</t>
        </is>
      </c>
      <c r="C5" s="18">
        <f>COUNTIF('Test Cases'!G5:G57,"Fail")</f>
        <v/>
      </c>
    </row>
    <row r="6">
      <c r="B6" s="19" t="inlineStr">
        <is>
          <t>Blocked</t>
        </is>
      </c>
      <c r="C6" s="18">
        <f>COUNTIF('Test Cases'!G5:G57,"Blocked")</f>
        <v/>
      </c>
    </row>
    <row r="7">
      <c r="B7" s="19" t="inlineStr">
        <is>
          <t>Skipped</t>
        </is>
      </c>
      <c r="C7" s="18">
        <f>COUNTIF('Test Cases'!G5:G57,"Skipped")</f>
        <v/>
      </c>
    </row>
    <row r="8">
      <c r="B8" s="19" t="inlineStr">
        <is>
          <t>Not Run</t>
        </is>
      </c>
      <c r="C8" s="18">
        <f>COUNTIF('Test Cases'!G5:G57,"Not Run")</f>
        <v/>
      </c>
    </row>
    <row r="9">
      <c r="B9" s="19" t="inlineStr">
        <is>
          <t>Executed (Pass+Fail)</t>
        </is>
      </c>
      <c r="C9" s="18">
        <f>COUNTIF('Test Cases'!G5:G57,"Pass")+COUNTIF('Test Cases'!G5:G57,"Fail")</f>
        <v/>
      </c>
    </row>
    <row r="10">
      <c r="B10" s="17" t="inlineStr">
        <is>
          <t>% Complete</t>
        </is>
      </c>
      <c r="C10" s="20">
        <f>IFERROR((COUNTA('Test Cases'!A5:A57)-COUNTIF('Test Cases'!G5:G57,"Not Run"))/COUNTA('Test Cases'!A5:A57),0)</f>
        <v/>
      </c>
    </row>
    <row r="11">
      <c r="B11" s="19" t="inlineStr">
        <is>
          <t>Open bugs</t>
        </is>
      </c>
      <c r="C11" s="18">
        <f>COUNTIF('Bug Log'!F5:F40,"Open")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2026-06-22T15:42:32Z</dcterms:created>
  <dcterms:modified xsi:type="dcterms:W3CDTF">2026-06-22T15:42:32Z</dcterms:modified>
</cp:coreProperties>
</file>